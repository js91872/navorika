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be25f2268f4a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 receipt" sheetId="1" r:id="R1b479593e5d24b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USD &quot;#,##0.00"/>
    <x:numFmt numFmtId="201" formatCode="0.####&quot;%&quot;"/>
    <x:numFmt numFmtId="202" formatCode="0.00##%"/>
  </x:numFmts>
  <x:fonts count="4">
    <x:font>
      <x:sz val="11"/>
      <x:name val="Carlito"/>
    </x:font>
    <x:font>
      <x:sz val="11"/>
      <x:color rgb="FF263244"/>
      <x:name val="Arial"/>
    </x:font>
    <x:font>
      <x:b/>
      <x:sz val="14"/>
      <x:color rgb="FFFFFFFF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345BF"/>
      </x:patternFill>
    </x:fill>
    <x:fill>
      <x:patternFill patternType="solid">
        <x:fgColor rgb="FFFFF0B3"/>
      </x:patternFill>
    </x:fill>
    <x:fill>
      <x:patternFill patternType="solid">
        <x:fgColor rgb="FFEEF2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1" fontId="1" fillId="3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7e00b8e8164fc4" /><Relationship Type="http://schemas.openxmlformats.org/officeDocument/2006/relationships/theme" Target="/xl/theme/theme1.xml" Id="R9598d350882a438a" /><Relationship Type="http://schemas.openxmlformats.org/officeDocument/2006/relationships/sharedStrings" Target="/xl/sharedStrings.xml" Id="Re596d36022d04b73" /><Relationship Type="http://schemas.openxmlformats.org/officeDocument/2006/relationships/worksheet" Target="/xl/worksheets/sheet1.xml" Id="R1b479593e5d24b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65" hidden="0" customWidth="1"/>
  </x:cols>
  <x:sheetData>
    <x:row r="1" ht="36" customHeight="1">
      <x:c r="A1" s="4" t="str">
        <x:v>US reverse sales tax</x:v>
      </x:c>
      <x:c r="B1" s="4"/>
      <x:c r="C1" s="4"/>
    </x:row>
    <x:row r="2" ht="27" customHeight="1">
      <x:c r="A2" s="2" t="str">
        <x:v>Navorika | USD only</x:v>
      </x:c>
      <x:c r="B2" s="2"/>
      <x:c r="C2" s="2" t="str">
        <x:v>Change yellow inputs. Results use spreadsheet formulas.</x:v>
      </x:c>
    </x:row>
    <x:row r="3" ht="27" customHeight="1">
      <x:c r="A3" s="2"/>
      <x:c r="B3" s="2"/>
      <x:c r="C3" s="2"/>
    </x:row>
    <x:row r="4" ht="27" customHeight="1">
      <x:c r="A4" s="2" t="str">
        <x:v>Total including tax</x:v>
      </x:c>
      <x:c r="B4" s="6" t="n">
        <x:v>108.25</x:v>
      </x:c>
      <x:c r="C4" s="2" t="str">
        <x:v>Enter the taxable, tax-inclusive portion of your receipt.</x:v>
      </x:c>
    </x:row>
    <x:row r="5" ht="27" customHeight="1">
      <x:c r="A5" s="2" t="str">
        <x:v>Tax rate (%)</x:v>
      </x:c>
      <x:c r="B5" s="7" t="n">
        <x:v>8.25</x:v>
      </x:c>
      <x:c r="C5" s="2" t="str">
        <x:v>Plain number: enter 8.25, not 8.25%. Illustrative rate.</x:v>
      </x:c>
    </x:row>
    <x:row r="6" ht="27" customHeight="1">
      <x:c r="A6" s="2"/>
      <x:c r="B6" s="2"/>
      <x:c r="C6" s="2"/>
    </x:row>
    <x:row r="7" ht="27" customHeight="1">
      <x:c r="A7" s="9" t="str">
        <x:v>Price before tax</x:v>
      </x:c>
      <x:c r="B7" s="10" t="n">
        <x:f>IF(OR(NOT(ISNUMBER(B4)),NOT(ISNUMBER(B5)),B4&lt;0,B4&gt;1000000000,B5&lt;0,B5&gt;100),"Check inputs",ROUND(ROUND(B4,2)/(1+B5/100),2))</x:f>
        <x:v>100</x:v>
      </x:c>
      <x:c r="C7" s="9" t="str">
        <x:v>Total / (1 + rate / 100), rounded to cents.</x:v>
      </x:c>
    </x:row>
    <x:row r="8" ht="27" customHeight="1">
      <x:c r="A8" s="9" t="str">
        <x:v>Included tax</x:v>
      </x:c>
      <x:c r="B8" s="10" t="n">
        <x:f>IF(ISNUMBER(B7),ROUND(ROUND(B4,2)-B7,2),"")</x:f>
        <x:v>8.25</x:v>
      </x:c>
      <x:c r="C8" s="9" t="str">
        <x:v>Total minus the rounded price before tax.</x:v>
      </x:c>
    </x:row>
    <x:row r="9" ht="27" customHeight="1">
      <x:c r="A9" s="9" t="str">
        <x:v>Total reconciled</x:v>
      </x:c>
      <x:c r="B9" s="10" t="n">
        <x:f>IF(ISNUMBER(B7),ROUND(B7+B8,2),"")</x:f>
        <x:v>108.25</x:v>
      </x:c>
      <x:c r="C9" s="9" t="str">
        <x:v>Price before tax plus included tax.</x:v>
      </x:c>
    </x:row>
    <x:row r="10" ht="27" customHeight="1">
      <x:c r="A10" s="2" t="str">
        <x:v>Difference from input</x:v>
      </x:c>
      <x:c r="B10" s="8" t="n">
        <x:f>IF(ISNUMBER(B9),ROUND(B9-ROUND(B4,2),2),"")</x:f>
        <x:v>0</x:v>
      </x:c>
      <x:c r="C10" s="2" t="str">
        <x:v>Should be USD 0.00 for valid inputs.</x:v>
      </x:c>
    </x:row>
    <x:row r="11" ht="27" customHeight="1">
      <x:c r="A11" s="2"/>
      <x:c r="B11" s="2"/>
      <x:c r="C11" s="2"/>
    </x:row>
    <x:row r="12" ht="27" customHeight="1">
      <x:c r="A12" s="11" t="str">
        <x:v>Independent rate check</x:v>
      </x:c>
      <x:c r="B12" s="11"/>
      <x:c r="C12" s="11" t="str">
        <x:v>Use the matching original receipt amounts.</x:v>
      </x:c>
    </x:row>
    <x:row r="13" ht="27" customHeight="1">
      <x:c r="A13" s="2"/>
      <x:c r="B13" s="2"/>
      <x:c r="C13" s="2"/>
    </x:row>
    <x:row r="14" ht="27" customHeight="1">
      <x:c r="A14" s="2" t="str">
        <x:v>Receipt total including tax</x:v>
      </x:c>
      <x:c r="B14" s="6" t="n">
        <x:v>108.25</x:v>
      </x:c>
      <x:c r="C14" s="2" t="str">
        <x:v>A separate input, independent of the first calculation.</x:v>
      </x:c>
    </x:row>
    <x:row r="15" ht="27" customHeight="1">
      <x:c r="A15" s="2" t="str">
        <x:v>Receipt price before tax</x:v>
      </x:c>
      <x:c r="B15" s="6" t="n">
        <x:v>100</x:v>
      </x:c>
      <x:c r="C15" s="2" t="str">
        <x:v>Must be positive and no higher than the receipt total.</x:v>
      </x:c>
    </x:row>
    <x:row r="16" ht="27" customHeight="1">
      <x:c r="A16" s="2"/>
      <x:c r="B16" s="2"/>
      <x:c r="C16" s="2"/>
    </x:row>
    <x:row r="17" ht="27" customHeight="1">
      <x:c r="A17" s="2" t="str">
        <x:v>Implied rate</x:v>
      </x:c>
      <x:c r="B17" s="12" t="n">
        <x:f>IF(OR(NOT(ISNUMBER(B14)),NOT(ISNUMBER(B15)),ROUND(B15,2)&lt;=0,B14&lt;B15,B14&gt;1000000000,B15&gt;1000000000),"Check inputs",(ROUND(B14,2)-ROUND(B15,2))/ROUND(B15,2))</x:f>
        <x:v>0.0825</x:v>
      </x:c>
      <x:c r="C17" s="2" t="str">
        <x:v>Based on entered amounts; not a legal rate determination.</x:v>
      </x:c>
    </x:row>
    <x:row r="18" ht="27" customHeight="1">
      <x:c r="A18" s="2"/>
      <x:c r="B18" s="2"/>
      <x:c r="C18" s="2"/>
    </x:row>
    <x:row r="19" ht="27" customHeight="1">
      <x:c r="A19" s="2" t="str">
        <x:v>How to use this workbook</x:v>
      </x:c>
      <x:c r="B19" s="2"/>
      <x:c r="C19" s="2" t="str">
        <x:v>Yellow = editable input. Other result cells contain formulas.</x:v>
      </x:c>
    </x:row>
    <x:row r="20" ht="27" customHeight="1">
      <x:c r="A20" s="2"/>
      <x:c r="B20" s="2"/>
      <x:c r="C20" s="2"/>
    </x:row>
    <x:row r="21" ht="42" customHeight="1">
      <x:c r="A21" s="2" t="str">
        <x:v>Scope</x:v>
      </x:c>
      <x:c r="B21" s="2"/>
      <x:c r="C21" s="2" t="str">
        <x:v>One taxable base and one rate. Separate exempt items and unrelated charges.</x:v>
      </x:c>
    </x:row>
    <x:row r="22" ht="27" customHeight="1">
      <x:c r="A22" s="2" t="str">
        <x:v>Rounding</x:v>
      </x:c>
      <x:c r="B22" s="2"/>
      <x:c r="C22" s="2" t="str">
        <x:v>Money rounds to cents; line-item receipt rounding may differ.</x:v>
      </x:c>
    </x:row>
    <x:row r="23" ht="27" customHeight="1">
      <x:c r="A23" s="2" t="str">
        <x:v>Rates</x:v>
      </x:c>
      <x:c r="B23" s="2"/>
      <x:c r="C23" s="2" t="str">
        <x:v>Enter the applicable rate yourself. No state or address lookup.</x:v>
      </x:c>
    </x:row>
    <x:row r="24" ht="42" customHeight="1">
      <x:c r="A24" s="2" t="str">
        <x:v>Records</x:v>
      </x:c>
      <x:c r="B24" s="2"/>
      <x:c r="C24" s="2" t="str">
        <x:v>Keep the original receipt. This workbook is not a tax invoice or tax advice.</x:v>
      </x:c>
    </x:row>
    <x:row r="25" ht="42" customHeight="1">
      <x:c r="A25" s="2" t="str">
        <x:v>Calculator</x:v>
      </x:c>
      <x:c r="B25" s="2"/>
      <x:c r="C25" s="2" t="str">
        <x:v>https://navorika.com/tools/reverse-sales-tax-calculator</x:v>
      </x:c>
    </x:row>
    <x:row r="26" ht="42" customHeight="1">
      <x:c r="A26" s="2" t="str">
        <x:v>US guide</x:v>
      </x:c>
      <x:c r="B26" s="2"/>
      <x:c r="C26" s="2" t="str">
        <x:v>https://navorika.com/guides/how-to-back-out-sales-tax-us</x:v>
      </x:c>
    </x:row>
    <x:row r="27" ht="27" customHeight="1">
      <x:c r="A27" s="2"/>
      <x:c r="B27" s="2"/>
      <x:c r="C27" s="2"/>
    </x:row>
    <x:row r="28" ht="42" customHeight="1">
      <x:c r="A28" s="2" t="str">
        <x:v>Method source</x:v>
      </x:c>
      <x:c r="B28" s="2"/>
      <x:c r="C28" s="2" t="str">
        <x:v>CDTFA Basic Sales and Use Tax training: tax-inclusive receipts divided by 1 + rate.</x:v>
      </x:c>
    </x:row>
    <x:row r="29" ht="42" customHeight="1">
      <x:c r="A29" s="2" t="str">
        <x:v>Source URL</x:v>
      </x:c>
      <x:c r="B29" s="2"/>
      <x:c r="C29" s="2" t="str">
        <x:v>https://www.cdtfa.ca.gov/seminar/BSUTS.pdf</x:v>
      </x:c>
    </x:row>
  </x:sheetData>
  <x:pageMargins left="0.7" right="0.7" top="0.75" bottom="0.75" header="0.3" footer="0.3"/>
</x:worksheet>
</file>